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asago_my_yearupunited_org/Documents/"/>
    </mc:Choice>
  </mc:AlternateContent>
  <xr:revisionPtr revIDLastSave="0" documentId="8_{9B27E217-A297-41B1-AD69-83B4BFBC231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rvey Data" sheetId="1" r:id="rId1"/>
    <sheet name="Charts&amp;Tables" sheetId="2" r:id="rId2"/>
  </sheet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5" i="1" s="1"/>
  <c r="D22" i="1"/>
  <c r="D23" i="1"/>
  <c r="D2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<sst xmlns="http://schemas.openxmlformats.org/spreadsheetml/2006/main" count="258" uniqueCount="130">
  <si>
    <t>ID</t>
  </si>
  <si>
    <t>Start time</t>
  </si>
  <si>
    <t>Completion time</t>
  </si>
  <si>
    <t>Email</t>
  </si>
  <si>
    <t>Name</t>
  </si>
  <si>
    <t>Last modified time</t>
  </si>
  <si>
    <t>What is your age range?</t>
  </si>
  <si>
    <t>How often do you purchase our candles?</t>
  </si>
  <si>
    <t>What size candles do you usually purchase?</t>
  </si>
  <si>
    <t>Which fragrances do you prefer?</t>
  </si>
  <si>
    <t>What is your main reason for buying candles </t>
  </si>
  <si>
    <t>How satisfied are you with the scent quality and longevity of our candles?</t>
  </si>
  <si>
    <t>Do you prefer single wick or multi?</t>
  </si>
  <si>
    <t>What kinds of perks/Rewards would you be interested in ?</t>
  </si>
  <si>
    <t>How do you feel when you enter our shop?</t>
  </si>
  <si>
    <t>What are some things we could improve on?</t>
  </si>
  <si>
    <t>jnavarroservin@my.yearupunited.org</t>
  </si>
  <si>
    <t>jessica navarroservin</t>
  </si>
  <si>
    <t>25-31</t>
  </si>
  <si>
    <t>Monthly</t>
  </si>
  <si>
    <t>Medium</t>
  </si>
  <si>
    <t>Warm/Woody;Fruity/Tropical;Fresh/Clean;</t>
  </si>
  <si>
    <t>Aromatherapy</t>
  </si>
  <si>
    <t>very satisfied</t>
  </si>
  <si>
    <t>Multi Wick</t>
  </si>
  <si>
    <t>40% off on your 6th visit (Punch card included);A free candle after every 10 candles you buy (Punch card included);Receive a small gift on your birthday ;Earn points with every purchase for free items;</t>
  </si>
  <si>
    <t>Excited </t>
  </si>
  <si>
    <t>Provide alternative packaging</t>
  </si>
  <si>
    <t>okaraer@my.yearupunited.org</t>
  </si>
  <si>
    <t>onur karaer</t>
  </si>
  <si>
    <t>Seasonal</t>
  </si>
  <si>
    <t>Large</t>
  </si>
  <si>
    <t>Fruity/Tropical;Warm/Woody;</t>
  </si>
  <si>
    <t>Home Decore </t>
  </si>
  <si>
    <t>I love the scent options. Longevity can be better.</t>
  </si>
  <si>
    <t>Single Wick</t>
  </si>
  <si>
    <t>40% off on your 6th visit (Punch card included);</t>
  </si>
  <si>
    <t>Overstimulated</t>
  </si>
  <si>
    <t>I'd like to see gift pack options with different candles and themes.</t>
  </si>
  <si>
    <t>mruiz3@my.yearupunited.org</t>
  </si>
  <si>
    <t>maritza ruiz</t>
  </si>
  <si>
    <t>First Time </t>
  </si>
  <si>
    <t>Small</t>
  </si>
  <si>
    <t>Fresh/Clean;</t>
  </si>
  <si>
    <t>Unsire, first time</t>
  </si>
  <si>
    <t>10% off for first time customers ;Receive a small gift on your birthday ;</t>
  </si>
  <si>
    <t>N/A</t>
  </si>
  <si>
    <t>jalmarazflores@my.yearupunited.org</t>
  </si>
  <si>
    <t>julissa almarazflores</t>
  </si>
  <si>
    <t>Relaxation</t>
  </si>
  <si>
    <t>very</t>
  </si>
  <si>
    <t>Earn points with every purchase for free items;Receive a small gift on your birthday ;</t>
  </si>
  <si>
    <t>Relaxed</t>
  </si>
  <si>
    <t>Love it as is</t>
  </si>
  <si>
    <t>tarista@my.yearupunited.org</t>
  </si>
  <si>
    <t>tracy arista</t>
  </si>
  <si>
    <t>Fresh/Clean;Warm/Woody;</t>
  </si>
  <si>
    <t>scent of candles could be stronger so smell can last longer</t>
  </si>
  <si>
    <t>Receive a small gift on your birthday ;Earn points with every purchase for free items;40% off on your 6th visit (Punch card included);</t>
  </si>
  <si>
    <t xml:space="preserve">candle burns too fast get slow burning wick </t>
  </si>
  <si>
    <t>arollins@my.yearupunited.org</t>
  </si>
  <si>
    <t>ariel rollins</t>
  </si>
  <si>
    <t>Floral;Sweet;Fruity/Tropical;Spiced;Warm/Woody;</t>
  </si>
  <si>
    <t>Hm. Out of 10, I'm at about a 7.6. Good scents.</t>
  </si>
  <si>
    <t>Earn points with every purchase for free items;</t>
  </si>
  <si>
    <t>More choice in seasonal scents.</t>
  </si>
  <si>
    <t>kmarsh1@my.yearupunited.org</t>
  </si>
  <si>
    <t>kiersten marsh</t>
  </si>
  <si>
    <t>18-24</t>
  </si>
  <si>
    <t>Warm/Woody;Spiced;Fresh/Clean;</t>
  </si>
  <si>
    <t>OMGGG it lasts so longggg I love it</t>
  </si>
  <si>
    <t>Earn points with every purchase for free items;40% off on your 6th visit (Punch card included);</t>
  </si>
  <si>
    <t>Maybe custom candles</t>
  </si>
  <si>
    <t>ccelik@my.yearupunited.org</t>
  </si>
  <si>
    <t>cagla celik</t>
  </si>
  <si>
    <t>Fresh/Clean;Floral;</t>
  </si>
  <si>
    <t>Satisfied</t>
  </si>
  <si>
    <t>40% off on your 6th visit (Punch card included);Earn points with every purchase for free items;</t>
  </si>
  <si>
    <t>Hiring more staff can be useful since the cashier is always busy.</t>
  </si>
  <si>
    <t>ktesema@my.yearupunited.org</t>
  </si>
  <si>
    <t>kidus tesema</t>
  </si>
  <si>
    <t>40% off on your 6th visit (Punch card included);A free candle after every 10 candles you buy (Punch card included);Receive a small gift on your birthday ;</t>
  </si>
  <si>
    <t>cugur@my.yearupunited.org</t>
  </si>
  <si>
    <t>ceyhun ugur</t>
  </si>
  <si>
    <t>Overall satisfied</t>
  </si>
  <si>
    <t>A free candle after every 10 candles you buy (Punch card included);</t>
  </si>
  <si>
    <t>msaeday@my.yearupunited.org</t>
  </si>
  <si>
    <t>mina saeday</t>
  </si>
  <si>
    <t>rmengesha@my.yearupunited.org</t>
  </si>
  <si>
    <t>Floral;Warm/Woody;Sweet;</t>
  </si>
  <si>
    <t>good so far</t>
  </si>
  <si>
    <t>40% off on your 6th visit (Punch card included);A free candle after every 10 candles you buy (Punch card included);</t>
  </si>
  <si>
    <t>delivery options</t>
  </si>
  <si>
    <t>gmutize@my.yearupunited.org</t>
  </si>
  <si>
    <t>godknows mutize</t>
  </si>
  <si>
    <t>Gifts </t>
  </si>
  <si>
    <t>Extremely</t>
  </si>
  <si>
    <t>10% off for first time customers ;</t>
  </si>
  <si>
    <t>Speed of Service</t>
  </si>
  <si>
    <t>wpoindexter@my.yearupunited.org</t>
  </si>
  <si>
    <t>william poindexter</t>
  </si>
  <si>
    <t>Warm/Woody;</t>
  </si>
  <si>
    <t>Very Satisfied</t>
  </si>
  <si>
    <t>10% off for first time customers ;40% off on your 6th visit (Punch card included);Earn points with every purchase for free items;Receive a small gift on your birthday ;A free candle after every 10 candles you buy (Punch card included);</t>
  </si>
  <si>
    <t>Loyalty Program</t>
  </si>
  <si>
    <t>edebero@my.yearupunited.org</t>
  </si>
  <si>
    <t>eyerusalem debero</t>
  </si>
  <si>
    <t>More variety in scents and better pricing options would be great.</t>
  </si>
  <si>
    <t>lpham1@my.yearupunited.org</t>
  </si>
  <si>
    <t>longley pham</t>
  </si>
  <si>
    <t>ssimsek@my.yearupunited.org</t>
  </si>
  <si>
    <t>sultan simsek</t>
  </si>
  <si>
    <t>Warm/Woody;Floral;</t>
  </si>
  <si>
    <t>Very satisfied</t>
  </si>
  <si>
    <t>10% off for first time customers ;A free candle after every 10 candles you buy (Punch card included);40% off on your 6th visit (Punch card included);Earn points with every purchase for free items;Receive a small gift on your birthday ;</t>
  </si>
  <si>
    <t>aosorio@my.yearupunited.org</t>
  </si>
  <si>
    <t>angel osorio</t>
  </si>
  <si>
    <t>Weekly</t>
  </si>
  <si>
    <t>Fresh/Clean;Sweet;Spiced;</t>
  </si>
  <si>
    <t>More scented candles!</t>
  </si>
  <si>
    <t>sbowens@my.yearupunited.org</t>
  </si>
  <si>
    <t>shaquan bowens</t>
  </si>
  <si>
    <t>Fruity/Tropical;Fresh/Clean;</t>
  </si>
  <si>
    <t>Very satisfied. The best part is the quality and how long they last.</t>
  </si>
  <si>
    <t>Less spiced smells</t>
  </si>
  <si>
    <t>Time to Complete</t>
  </si>
  <si>
    <t>Row Labels</t>
  </si>
  <si>
    <t>(blank)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</si>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</sst>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quotePrefix="1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Scent Or Two Candle Shop(1-19).xlsx]Charts&amp;Tables!PivotTable4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7359392575928008E-2"/>
          <c:y val="0.30550447632402117"/>
          <c:w val="0.39194797525309338"/>
          <c:h val="0.60134483874447198"/>
        </c:manualLayout>
      </c:layout>
      <c:pieChart>
        <c:varyColors val="1"/>
        <c:ser>
          <c:idx val="0"/>
          <c:order val="0"/>
          <c:tx>
            <c:strRef>
              <c:f>'Charts&amp;Tables'!$B$3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'Charts&amp;Tables'!$A$4:$A$7</c:f>
              <c:strCache>
                <c:ptCount val="3"/>
                <c:pt idx="0">
                  <c:v>18-24</c:v>
                </c:pt>
                <c:pt idx="1">
                  <c:v>25-31</c:v>
                </c:pt>
                <c:pt idx="2">
                  <c:v>(blank)</c:v>
                </c:pt>
              </c:strCache>
            </c:strRef>
          </c:cat>
          <c:val>
            <c:numRef>
              <c:f>'Charts&amp;Tables'!$B$4:$B$7</c:f>
              <c:numCache>
                <c:formatCode>General</c:formatCode>
                <c:ptCount val="3"/>
                <c:pt idx="0">
                  <c:v>8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4F15-AE87-FBEB2228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159370736278E-2"/>
          <c:y val="0.23019229517797879"/>
          <c:w val="0.86775968793374514"/>
          <c:h val="0.20413743736578382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6"/>
              <c:pt idx="0">
                <c:v>Large Fresh/Clean;</c:v>
              </c:pt>
              <c:pt idx="1">
                <c:v>Large Fresh/Clean;Floral;</c:v>
              </c:pt>
              <c:pt idx="2">
                <c:v>Large Fresh/Clean;Warm/Woody;</c:v>
              </c:pt>
              <c:pt idx="3">
                <c:v>Large Fruity/Tropical;Warm/Woody;</c:v>
              </c:pt>
              <c:pt idx="4">
                <c:v>Large Warm/Woody;Floral;</c:v>
              </c:pt>
              <c:pt idx="5">
                <c:v>Large Warm/Woody;Spiced;Fresh/Clean;</c:v>
              </c:pt>
              <c:pt idx="6">
                <c:v>Medium Floral;Sweet;Fruity/Tropical;Spiced;Warm/Woody;</c:v>
              </c:pt>
              <c:pt idx="7">
                <c:v>Medium Floral;Warm/Woody;Sweet;</c:v>
              </c:pt>
              <c:pt idx="8">
                <c:v>Medium Fresh/Clean;</c:v>
              </c:pt>
              <c:pt idx="9">
                <c:v>Medium Fresh/Clean;Floral;</c:v>
              </c:pt>
              <c:pt idx="10">
                <c:v>Medium Fruity/Tropical;Fresh/Clean;</c:v>
              </c:pt>
              <c:pt idx="11">
                <c:v>Medium Warm/Woody;</c:v>
              </c:pt>
              <c:pt idx="12">
                <c:v>Medium Warm/Woody;Fruity/Tropical;Fresh/Clean;</c:v>
              </c:pt>
              <c:pt idx="13">
                <c:v>Small Fresh/Clean;</c:v>
              </c:pt>
              <c:pt idx="14">
                <c:v>Small Fresh/Clean;Sweet;Spiced;</c:v>
              </c:pt>
              <c:pt idx="15">
                <c:v>(blank) (blank)</c:v>
              </c:pt>
            </c:strLit>
          </c:cat>
          <c:val>
            <c:numLit>
              <c:formatCode>General</c:formatCode>
              <c:ptCount val="1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2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3</c:v>
              </c:pt>
              <c:pt idx="14">
                <c:v>1</c:v>
              </c:pt>
              <c:pt idx="1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72BC-44D1-A30A-B66A88354D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47616320"/>
        <c:axId val="647610080"/>
      </c:barChart>
      <c:catAx>
        <c:axId val="6476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0080"/>
        <c:crosses val="autoZero"/>
        <c:auto val="1"/>
        <c:lblAlgn val="ctr"/>
        <c:lblOffset val="100"/>
        <c:noMultiLvlLbl val="0"/>
      </c:catAx>
      <c:valAx>
        <c:axId val="6476100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31750</xdr:rowOff>
    </xdr:from>
    <xdr:to>
      <xdr:col>4</xdr:col>
      <xdr:colOff>565150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5A679-2FA4-B255-B892-09BA19EA5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22</xdr:row>
      <xdr:rowOff>0</xdr:rowOff>
    </xdr:from>
    <xdr:to>
      <xdr:col>9</xdr:col>
      <xdr:colOff>82550</xdr:colOff>
      <xdr:row>38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E9BCE-966E-47C1-95EA-5A6AEC0FD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waushea sago" refreshedDate="46125.385100810185" createdVersion="8" refreshedVersion="8" minRefreshableVersion="3" recordCount="23" xr:uid="{69B0AFC5-CCEE-4EF0-9B61-DF696E0382A5}">
  <cacheSource type="worksheet">
    <worksheetSource name="Table1"/>
  </cacheSource>
  <cacheFields count="17">
    <cacheField name="ID" numFmtId="0">
      <sharedItems containsString="0" containsBlank="1" containsNumber="1" containsInteger="1" minValue="1" maxValue="19"/>
    </cacheField>
    <cacheField name="Start time" numFmtId="166">
      <sharedItems containsNonDate="0" containsDate="1" containsString="0" containsBlank="1" minDate="2026-04-09T10:25:54" maxDate="2026-04-10T12:57:37"/>
    </cacheField>
    <cacheField name="Completion time" numFmtId="166">
      <sharedItems containsNonDate="0" containsDate="1" containsString="0" containsBlank="1" minDate="2026-04-09T10:27:30" maxDate="2026-04-10T13:00:17"/>
    </cacheField>
    <cacheField name="Time to Complete" numFmtId="45">
      <sharedItems containsSemiMixedTypes="0" containsNonDate="0" containsDate="1" containsString="0" minDate="1899-12-30T00:00:00" maxDate="1899-12-30T00:18:50"/>
    </cacheField>
    <cacheField name="Email" numFmtId="0">
      <sharedItems containsBlank="1"/>
    </cacheField>
    <cacheField name="Name" numFmtId="0">
      <sharedItems containsBlank="1"/>
    </cacheField>
    <cacheField name="Last modified time" numFmtId="164">
      <sharedItems containsNonDate="0" containsString="0" containsBlank="1"/>
    </cacheField>
    <cacheField name="What is your age range?" numFmtId="0">
      <sharedItems containsBlank="1" count="3">
        <s v="25-31"/>
        <s v="18-24"/>
        <m/>
      </sharedItems>
    </cacheField>
    <cacheField name="How often do you purchase our candles?" numFmtId="0">
      <sharedItems containsBlank="1"/>
    </cacheField>
    <cacheField name="What size candles do you usually purchase?" numFmtId="0">
      <sharedItems containsBlank="1" count="4">
        <s v="Medium"/>
        <s v="Large"/>
        <s v="Small"/>
        <m/>
      </sharedItems>
    </cacheField>
    <cacheField name="Which fragrances do you prefer?" numFmtId="0">
      <sharedItems containsBlank="1" count="13">
        <s v="Warm/Woody;Fruity/Tropical;Fresh/Clean;"/>
        <s v="Fruity/Tropical;Warm/Woody;"/>
        <s v="Fresh/Clean;"/>
        <s v="Fresh/Clean;Warm/Woody;"/>
        <s v="Floral;Sweet;Fruity/Tropical;Spiced;Warm/Woody;"/>
        <s v="Warm/Woody;Spiced;Fresh/Clean;"/>
        <s v="Fresh/Clean;Floral;"/>
        <s v="Floral;Warm/Woody;Sweet;"/>
        <s v="Warm/Woody;"/>
        <m/>
        <s v="Warm/Woody;Floral;"/>
        <s v="Fresh/Clean;Sweet;Spiced;"/>
        <s v="Fruity/Tropical;Fresh/Clean;"/>
      </sharedItems>
    </cacheField>
    <cacheField name="What is your main reason for buying candles " numFmtId="0">
      <sharedItems containsBlank="1"/>
    </cacheField>
    <cacheField name="How satisfied are you with the scent quality and longevity of our candles?" numFmtId="0">
      <sharedItems containsBlank="1"/>
    </cacheField>
    <cacheField name="Do you prefer single wick or multi?" numFmtId="0">
      <sharedItems containsBlank="1"/>
    </cacheField>
    <cacheField name="What kinds of perks/Rewards would you be interested in ?" numFmtId="0">
      <sharedItems containsBlank="1"/>
    </cacheField>
    <cacheField name="How do you feel when you enter our shop?" numFmtId="0">
      <sharedItems containsBlank="1"/>
    </cacheField>
    <cacheField name="What are some things we could improve on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d v="2026-04-09T10:25:54"/>
    <d v="2026-04-09T10:27:30"/>
    <d v="1899-12-30T00:01:36"/>
    <s v="jnavarroservin@my.yearupunited.org"/>
    <s v="jessica navarroservin"/>
    <m/>
    <x v="0"/>
    <s v="Monthly"/>
    <x v="0"/>
    <x v="0"/>
    <s v="Aromatherapy"/>
    <s v="very satisfied"/>
    <s v="Multi Wick"/>
    <s v="40% off on your 6th visit (Punch card included);A free candle after every 10 candles you buy (Punch card included);Receive a small gift on your birthday ;Earn points with every purchase for free items;"/>
    <s v="Excited "/>
    <s v="Provide alternative packaging"/>
  </r>
  <r>
    <n v="2"/>
    <d v="2026-04-09T10:31:19"/>
    <d v="2026-04-09T10:33:50"/>
    <d v="1899-12-30T00:02:31"/>
    <s v="okaraer@my.yearupunited.org"/>
    <s v="onur karaer"/>
    <m/>
    <x v="0"/>
    <s v="Seasonal"/>
    <x v="1"/>
    <x v="1"/>
    <s v="Home Decore "/>
    <s v="I love the scent options. Longevity can be better."/>
    <s v="Single Wick"/>
    <s v="40% off on your 6th visit (Punch card included);"/>
    <s v="Overstimulated"/>
    <s v="I'd like to see gift pack options with different candles and themes."/>
  </r>
  <r>
    <n v="3"/>
    <d v="2026-04-09T11:34:29"/>
    <d v="2026-04-09T11:37:54"/>
    <d v="1899-12-30T00:03:25"/>
    <s v="mruiz3@my.yearupunited.org"/>
    <s v="maritza ruiz"/>
    <m/>
    <x v="0"/>
    <s v="First Time "/>
    <x v="2"/>
    <x v="2"/>
    <s v="Home Decore "/>
    <s v="Unsire, first time"/>
    <s v="Single Wick"/>
    <s v="10% off for first time customers ;Receive a small gift on your birthday ;"/>
    <s v="Overstimulated"/>
    <s v="N/A"/>
  </r>
  <r>
    <n v="4"/>
    <d v="2026-04-09T11:45:14"/>
    <d v="2026-04-09T11:46:24"/>
    <d v="1899-12-30T00:01:10"/>
    <s v="jalmarazflores@my.yearupunited.org"/>
    <s v="julissa almarazflores"/>
    <m/>
    <x v="0"/>
    <s v="Seasonal"/>
    <x v="0"/>
    <x v="2"/>
    <s v="Relaxation"/>
    <s v="very"/>
    <s v="Single Wick"/>
    <s v="Earn points with every purchase for free items;Receive a small gift on your birthday ;"/>
    <s v="Relaxed"/>
    <s v="Love it as is"/>
  </r>
  <r>
    <n v="5"/>
    <d v="2026-04-09T12:20:54"/>
    <d v="2026-04-09T12:26:26"/>
    <d v="1899-12-30T00:05:32"/>
    <s v="tarista@my.yearupunited.org"/>
    <s v="tracy arista"/>
    <m/>
    <x v="0"/>
    <s v="Seasonal"/>
    <x v="1"/>
    <x v="3"/>
    <s v="Aromatherapy"/>
    <s v="scent of candles could be stronger so smell can last longer"/>
    <s v="Multi Wick"/>
    <s v="Receive a small gift on your birthday ;Earn points with every purchase for free items;40% off on your 6th visit (Punch card included);"/>
    <s v="Overstimulated"/>
    <s v="candle burns too fast get slow burning wick "/>
  </r>
  <r>
    <n v="6"/>
    <d v="2026-04-09T12:53:58"/>
    <d v="2026-04-09T12:56:03"/>
    <d v="1899-12-30T00:02:05"/>
    <s v="arollins@my.yearupunited.org"/>
    <s v="ariel rollins"/>
    <m/>
    <x v="0"/>
    <s v="Monthly"/>
    <x v="0"/>
    <x v="4"/>
    <s v="Aromatherapy"/>
    <s v="Hm. Out of 10, I'm at about a 7.6. Good scents."/>
    <s v="Single Wick"/>
    <s v="Earn points with every purchase for free items;"/>
    <s v="Relaxed"/>
    <s v="More choice in seasonal scents."/>
  </r>
  <r>
    <n v="7"/>
    <d v="2026-04-09T12:54:11"/>
    <d v="2026-04-09T12:59:12"/>
    <d v="1899-12-30T00:05:01"/>
    <s v="kmarsh1@my.yearupunited.org"/>
    <s v="kiersten marsh"/>
    <m/>
    <x v="1"/>
    <s v="Monthly"/>
    <x v="1"/>
    <x v="5"/>
    <s v="Relaxation"/>
    <s v="OMGGG it lasts so longggg I love it"/>
    <s v="Multi Wick"/>
    <s v="Earn points with every purchase for free items;40% off on your 6th visit (Punch card included);"/>
    <s v="Excited "/>
    <s v="Maybe custom candles"/>
  </r>
  <r>
    <n v="8"/>
    <d v="2026-04-09T12:56:55"/>
    <d v="2026-04-09T12:59:56"/>
    <d v="1899-12-30T00:03:01"/>
    <s v="ccelik@my.yearupunited.org"/>
    <s v="cagla celik"/>
    <m/>
    <x v="1"/>
    <s v="Seasonal"/>
    <x v="1"/>
    <x v="6"/>
    <s v="Aromatherapy"/>
    <s v="Satisfied"/>
    <s v="Multi Wick"/>
    <s v="40% off on your 6th visit (Punch card included);Earn points with every purchase for free items;"/>
    <s v="Relaxed"/>
    <s v="Hiring more staff can be useful since the cashier is always busy."/>
  </r>
  <r>
    <n v="9"/>
    <d v="2026-04-09T13:30:07"/>
    <d v="2026-04-09T13:31:11"/>
    <d v="1899-12-30T00:01:04"/>
    <s v="ktesema@my.yearupunited.org"/>
    <s v="kidus tesema"/>
    <m/>
    <x v="1"/>
    <s v="First Time "/>
    <x v="2"/>
    <x v="2"/>
    <s v="Home Decore "/>
    <m/>
    <s v="Single Wick"/>
    <s v="40% off on your 6th visit (Punch card included);A free candle after every 10 candles you buy (Punch card included);Receive a small gift on your birthday ;"/>
    <s v="Excited "/>
    <m/>
  </r>
  <r>
    <n v="10"/>
    <d v="2026-04-09T13:32:16"/>
    <d v="2026-04-09T13:32:59"/>
    <d v="1899-12-30T00:00:43"/>
    <s v="cugur@my.yearupunited.org"/>
    <s v="ceyhun ugur"/>
    <m/>
    <x v="0"/>
    <s v="First Time "/>
    <x v="0"/>
    <x v="2"/>
    <s v="Aromatherapy"/>
    <s v="Overall satisfied"/>
    <s v="Single Wick"/>
    <s v="A free candle after every 10 candles you buy (Punch card included);"/>
    <s v="Relaxed"/>
    <m/>
  </r>
  <r>
    <n v="11"/>
    <d v="2026-04-09T13:39:35"/>
    <d v="2026-04-09T13:40:05"/>
    <d v="1899-12-30T00:00:30"/>
    <s v="msaeday@my.yearupunited.org"/>
    <s v="mina saeday"/>
    <m/>
    <x v="1"/>
    <s v="First Time "/>
    <x v="2"/>
    <x v="2"/>
    <s v="Relaxation"/>
    <m/>
    <s v="Single Wick"/>
    <s v="40% off on your 6th visit (Punch card included);"/>
    <s v="Excited "/>
    <m/>
  </r>
  <r>
    <n v="12"/>
    <d v="2026-04-09T13:45:11"/>
    <d v="2026-04-09T13:46:35"/>
    <d v="1899-12-30T00:01:24"/>
    <s v="rmengesha@my.yearupunited.org"/>
    <s v="rmengesha@my.yearupunited.org"/>
    <m/>
    <x v="1"/>
    <s v="First Time "/>
    <x v="0"/>
    <x v="7"/>
    <s v="Home Decore "/>
    <s v="good so far"/>
    <s v="Single Wick"/>
    <s v="40% off on your 6th visit (Punch card included);A free candle after every 10 candles you buy (Punch card included);"/>
    <s v="Relaxed"/>
    <s v="delivery options"/>
  </r>
  <r>
    <n v="13"/>
    <d v="2026-04-09T13:46:29"/>
    <d v="2026-04-09T13:47:59"/>
    <d v="1899-12-30T00:01:30"/>
    <s v="gmutize@my.yearupunited.org"/>
    <s v="godknows mutize"/>
    <m/>
    <x v="0"/>
    <s v="Monthly"/>
    <x v="1"/>
    <x v="2"/>
    <s v="Gifts "/>
    <s v="Extremely"/>
    <s v="Multi Wick"/>
    <s v="10% off for first time customers ;"/>
    <s v="Relaxed"/>
    <s v="Speed of Service"/>
  </r>
  <r>
    <n v="14"/>
    <d v="2026-04-09T13:56:28"/>
    <d v="2026-04-09T13:57:09"/>
    <d v="1899-12-30T00:00:41"/>
    <s v="wpoindexter@my.yearupunited.org"/>
    <s v="william poindexter"/>
    <m/>
    <x v="0"/>
    <s v="Seasonal"/>
    <x v="0"/>
    <x v="8"/>
    <s v="Relaxation"/>
    <s v="very satisfied"/>
    <s v="Single Wick"/>
    <s v="10% off for first time customers ;40% off on your 6th visit (Punch card included);Earn points with every purchase for free items;Receive a small gift on your birthday ;A free candle after every 10 candles you buy (Punch card included);"/>
    <s v="Relaxed"/>
    <s v="Loyalty Program"/>
  </r>
  <r>
    <n v="15"/>
    <d v="2026-04-09T13:57:13"/>
    <d v="2026-04-09T13:58:42"/>
    <d v="1899-12-30T00:01:29"/>
    <s v="edebero@my.yearupunited.org"/>
    <s v="eyerusalem debero"/>
    <m/>
    <x v="1"/>
    <s v="First Time "/>
    <x v="0"/>
    <x v="6"/>
    <s v="Relaxation"/>
    <s v="Single Wick"/>
    <s v="Single Wick"/>
    <s v="Earn points with every purchase for free items;"/>
    <s v="Relaxed"/>
    <s v="More variety in scents and better pricing options would be great."/>
  </r>
  <r>
    <n v="16"/>
    <d v="2026-04-09T14:20:25"/>
    <d v="2026-04-09T14:20:46"/>
    <d v="1899-12-30T00:00:21"/>
    <s v="lpham1@my.yearupunited.org"/>
    <s v="longley pham"/>
    <m/>
    <x v="2"/>
    <m/>
    <x v="3"/>
    <x v="9"/>
    <m/>
    <m/>
    <m/>
    <m/>
    <m/>
    <m/>
  </r>
  <r>
    <n v="17"/>
    <d v="2026-04-09T16:29:18"/>
    <d v="2026-04-09T16:48:08"/>
    <d v="1899-12-30T00:18:50"/>
    <s v="ssimsek@my.yearupunited.org"/>
    <s v="sultan simsek"/>
    <m/>
    <x v="0"/>
    <s v="First Time "/>
    <x v="1"/>
    <x v="10"/>
    <s v="Relaxation"/>
    <s v="very satisfied"/>
    <s v="Multi Wick"/>
    <s v="10% off for first time customers ;A free candle after every 10 candles you buy (Punch card included);40% off on your 6th visit (Punch card included);Earn points with every purchase for free items;Receive a small gift on your birthday ;"/>
    <s v="Relaxed"/>
    <m/>
  </r>
  <r>
    <n v="18"/>
    <d v="2026-04-10T12:51:17"/>
    <d v="2026-04-10T13:00:10"/>
    <d v="1899-12-30T00:08:53"/>
    <s v="aosorio@my.yearupunited.org"/>
    <s v="angel osorio"/>
    <m/>
    <x v="1"/>
    <s v="Weekly"/>
    <x v="2"/>
    <x v="11"/>
    <s v="Relaxation"/>
    <s v="very satisfied"/>
    <s v="Single Wick"/>
    <s v="A free candle after every 10 candles you buy (Punch card included);"/>
    <s v="Excited "/>
    <s v="More scented candles!"/>
  </r>
  <r>
    <n v="19"/>
    <d v="2026-04-10T12:57:37"/>
    <d v="2026-04-10T13:00:17"/>
    <d v="1899-12-30T00:02:40"/>
    <s v="sbowens@my.yearupunited.org"/>
    <s v="shaquan bowens"/>
    <m/>
    <x v="1"/>
    <s v="Monthly"/>
    <x v="0"/>
    <x v="12"/>
    <s v="Relaxation"/>
    <s v="Very satisfied. The best part is the quality and how long they last."/>
    <s v="Multi Wick"/>
    <s v="40% off on your 6th visit (Punch card included);Earn points with every purchase for free items;"/>
    <s v="Excited "/>
    <s v="Less spiced smells"/>
  </r>
  <r>
    <m/>
    <m/>
    <m/>
    <d v="1899-12-30T00:00:00"/>
    <m/>
    <m/>
    <m/>
    <x v="2"/>
    <m/>
    <x v="3"/>
    <x v="9"/>
    <m/>
    <m/>
    <m/>
    <m/>
    <m/>
    <m/>
  </r>
  <r>
    <m/>
    <m/>
    <m/>
    <d v="1899-12-30T00:00:00"/>
    <m/>
    <m/>
    <m/>
    <x v="2"/>
    <m/>
    <x v="3"/>
    <x v="9"/>
    <m/>
    <m/>
    <m/>
    <m/>
    <m/>
    <m/>
  </r>
  <r>
    <m/>
    <m/>
    <m/>
    <d v="1899-12-30T00:00:00"/>
    <m/>
    <m/>
    <m/>
    <x v="2"/>
    <m/>
    <x v="3"/>
    <x v="9"/>
    <m/>
    <m/>
    <m/>
    <m/>
    <m/>
    <m/>
  </r>
  <r>
    <m/>
    <m/>
    <m/>
    <d v="1899-12-30T00:00:00"/>
    <m/>
    <m/>
    <m/>
    <x v="2"/>
    <m/>
    <x v="3"/>
    <x v="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F07B5-E8DF-4920-A08C-6B0115A07D8E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:I22" firstHeaderRow="1" firstDataRow="1" firstDataCol="1"/>
  <pivotFields count="17">
    <pivotField showAll="0"/>
    <pivotField showAll="0"/>
    <pivotField showAll="0"/>
    <pivotField numFmtId="45"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4">
        <item x="4"/>
        <item x="7"/>
        <item x="2"/>
        <item x="6"/>
        <item x="11"/>
        <item x="3"/>
        <item x="12"/>
        <item x="1"/>
        <item x="8"/>
        <item x="10"/>
        <item x="0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21">
    <i>
      <x/>
    </i>
    <i r="1">
      <x v="2"/>
    </i>
    <i r="1">
      <x v="3"/>
    </i>
    <i r="1">
      <x v="5"/>
    </i>
    <i r="1">
      <x v="7"/>
    </i>
    <i r="1">
      <x v="9"/>
    </i>
    <i r="1">
      <x v="11"/>
    </i>
    <i>
      <x v="1"/>
    </i>
    <i r="1">
      <x/>
    </i>
    <i r="1">
      <x v="1"/>
    </i>
    <i r="1">
      <x v="2"/>
    </i>
    <i r="1">
      <x v="3"/>
    </i>
    <i r="1">
      <x v="6"/>
    </i>
    <i r="1">
      <x v="8"/>
    </i>
    <i r="1">
      <x v="10"/>
    </i>
    <i>
      <x v="2"/>
    </i>
    <i r="1">
      <x v="2"/>
    </i>
    <i r="1">
      <x v="4"/>
    </i>
    <i>
      <x v="3"/>
    </i>
    <i r="1">
      <x v="12"/>
    </i>
    <i t="grand">
      <x/>
    </i>
  </rowItems>
  <colItems count="1">
    <i/>
  </colItems>
  <dataFields count="1">
    <dataField name="Count of Name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3A115-1F71-451F-8DFE-45DED3488F85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7">
    <pivotField showAll="0"/>
    <pivotField showAll="0"/>
    <pivotField showAll="0"/>
    <pivotField numFmtId="45"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5" totalsRowCount="1">
  <autoFilter ref="A1:Q24" xr:uid="{00000000-0009-0000-0100-000001000000}"/>
  <tableColumns count="17">
    <tableColumn id="1" xr3:uid="{00000000-0010-0000-0000-000001000000}" name="ID" dataDxfId="20" totalsRowDxfId="16"/>
    <tableColumn id="2" xr3:uid="{00000000-0010-0000-0000-000002000000}" name="Start time" dataDxfId="19" totalsRowDxfId="15"/>
    <tableColumn id="3" xr3:uid="{00000000-0010-0000-0000-000003000000}" name="Completion time" dataDxfId="18" totalsRowDxfId="14"/>
    <tableColumn id="17" xr3:uid="{F734BD60-4B9D-4483-BFC2-9C17C142C798}" name="Time to Complete" totalsRowFunction="custom" dataDxfId="17" totalsRowDxfId="13">
      <calculatedColumnFormula>C2-B2</calculatedColumnFormula>
      <totalsRowFormula>AVERAGE(D2:D24)</totalsRowFormula>
    </tableColumn>
    <tableColumn id="4" xr3:uid="{00000000-0010-0000-0000-000004000000}" name="Email" dataDxfId="33" totalsRowDxfId="12"/>
    <tableColumn id="5" xr3:uid="{00000000-0010-0000-0000-000005000000}" name="Name" dataDxfId="32" totalsRowDxfId="11"/>
    <tableColumn id="6" xr3:uid="{00000000-0010-0000-0000-000006000000}" name="Last modified time" dataDxfId="31" totalsRowDxfId="10"/>
    <tableColumn id="7" xr3:uid="{00000000-0010-0000-0000-000007000000}" name="What is your age range?" dataDxfId="30" totalsRowDxfId="9"/>
    <tableColumn id="8" xr3:uid="{00000000-0010-0000-0000-000008000000}" name="How often do you purchase our candles?" dataDxfId="29" totalsRowDxfId="8"/>
    <tableColumn id="9" xr3:uid="{00000000-0010-0000-0000-000009000000}" name="What size candles do you usually purchase?" dataDxfId="28" totalsRowDxfId="7"/>
    <tableColumn id="10" xr3:uid="{00000000-0010-0000-0000-00000A000000}" name="Which fragrances do you prefer?" dataDxfId="27" totalsRowDxfId="6"/>
    <tableColumn id="11" xr3:uid="{00000000-0010-0000-0000-00000B000000}" name="What is your main reason for buying candles " dataDxfId="26" totalsRowDxfId="5"/>
    <tableColumn id="12" xr3:uid="{00000000-0010-0000-0000-00000C000000}" name="How satisfied are you with the scent quality and longevity of our candles?" dataDxfId="25" totalsRowDxfId="4"/>
    <tableColumn id="13" xr3:uid="{00000000-0010-0000-0000-00000D000000}" name="Do you prefer single wick or multi?" dataDxfId="24" totalsRowDxfId="3"/>
    <tableColumn id="14" xr3:uid="{00000000-0010-0000-0000-00000E000000}" name="What kinds of perks/Rewards would you be interested in ?" dataDxfId="23" totalsRowDxfId="2"/>
    <tableColumn id="15" xr3:uid="{00000000-0010-0000-0000-00000F000000}" name="How do you feel when you enter our shop?" dataDxfId="22" totalsRowDxfId="1"/>
    <tableColumn id="16" xr3:uid="{00000000-0010-0000-0000-000010000000}" name="What are some things we could improve on?" dataDxfId="2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opLeftCell="A2" workbookViewId="0">
      <selection activeCell="D23" sqref="D23"/>
    </sheetView>
  </sheetViews>
  <sheetFormatPr defaultRowHeight="14.5" x14ac:dyDescent="0.35"/>
  <cols>
    <col min="1" max="1" width="20" bestFit="1" customWidth="1"/>
    <col min="2" max="3" width="20" style="3" bestFit="1" customWidth="1"/>
    <col min="4" max="4" width="20" style="4" customWidth="1"/>
    <col min="5" max="14" width="20" bestFit="1" customWidth="1"/>
    <col min="15" max="15" width="107.54296875" customWidth="1"/>
    <col min="16" max="16" width="20" bestFit="1" customWidth="1"/>
    <col min="17" max="17" width="56.08984375" bestFit="1" customWidth="1"/>
  </cols>
  <sheetData>
    <row r="1" spans="1:17" x14ac:dyDescent="0.35">
      <c r="A1" t="s">
        <v>0</v>
      </c>
      <c r="B1" s="3" t="s">
        <v>1</v>
      </c>
      <c r="C1" s="3" t="s">
        <v>2</v>
      </c>
      <c r="D1" s="4" t="s">
        <v>125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>
        <v>1</v>
      </c>
      <c r="B2" s="3">
        <v>46121.434652777803</v>
      </c>
      <c r="C2" s="3">
        <v>46121.435763888898</v>
      </c>
      <c r="D2" s="4">
        <f t="shared" ref="D2:D20" si="0">C2-B2</f>
        <v>1.1111110943602398E-3</v>
      </c>
      <c r="E2" t="s">
        <v>16</v>
      </c>
      <c r="F2" t="s">
        <v>17</v>
      </c>
      <c r="G2" s="1"/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5">
      <c r="A3">
        <v>2</v>
      </c>
      <c r="B3" s="3">
        <v>46121.438414351796</v>
      </c>
      <c r="C3" s="3">
        <v>46121.440162036997</v>
      </c>
      <c r="D3" s="4">
        <f t="shared" si="0"/>
        <v>1.7476852008257993E-3</v>
      </c>
      <c r="E3" t="s">
        <v>28</v>
      </c>
      <c r="F3" t="s">
        <v>29</v>
      </c>
      <c r="G3" s="1"/>
      <c r="H3" t="s">
        <v>18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</row>
    <row r="4" spans="1:17" x14ac:dyDescent="0.35">
      <c r="A4">
        <v>3</v>
      </c>
      <c r="B4" s="3">
        <v>46121.482280092598</v>
      </c>
      <c r="C4" s="3">
        <v>46121.484652777799</v>
      </c>
      <c r="D4" s="4">
        <f t="shared" si="0"/>
        <v>2.3726852014078759E-3</v>
      </c>
      <c r="E4" t="s">
        <v>39</v>
      </c>
      <c r="F4" t="s">
        <v>40</v>
      </c>
      <c r="G4" s="1"/>
      <c r="H4" t="s">
        <v>18</v>
      </c>
      <c r="I4" t="s">
        <v>41</v>
      </c>
      <c r="J4" t="s">
        <v>42</v>
      </c>
      <c r="K4" t="s">
        <v>43</v>
      </c>
      <c r="L4" t="s">
        <v>33</v>
      </c>
      <c r="M4" t="s">
        <v>44</v>
      </c>
      <c r="N4" t="s">
        <v>35</v>
      </c>
      <c r="O4" t="s">
        <v>45</v>
      </c>
      <c r="P4" t="s">
        <v>37</v>
      </c>
      <c r="Q4" t="s">
        <v>46</v>
      </c>
    </row>
    <row r="5" spans="1:17" x14ac:dyDescent="0.35">
      <c r="A5">
        <v>4</v>
      </c>
      <c r="B5" s="3">
        <v>46121.489745370403</v>
      </c>
      <c r="C5" s="3">
        <v>46121.490555555603</v>
      </c>
      <c r="D5" s="4">
        <f t="shared" si="0"/>
        <v>8.1018519995268434E-4</v>
      </c>
      <c r="E5" t="s">
        <v>47</v>
      </c>
      <c r="F5" t="s">
        <v>48</v>
      </c>
      <c r="G5" s="1"/>
      <c r="H5" t="s">
        <v>18</v>
      </c>
      <c r="I5" t="s">
        <v>30</v>
      </c>
      <c r="J5" t="s">
        <v>20</v>
      </c>
      <c r="K5" t="s">
        <v>43</v>
      </c>
      <c r="L5" t="s">
        <v>49</v>
      </c>
      <c r="M5" t="s">
        <v>50</v>
      </c>
      <c r="N5" t="s">
        <v>35</v>
      </c>
      <c r="O5" t="s">
        <v>51</v>
      </c>
      <c r="P5" t="s">
        <v>52</v>
      </c>
      <c r="Q5" t="s">
        <v>53</v>
      </c>
    </row>
    <row r="6" spans="1:17" x14ac:dyDescent="0.35">
      <c r="A6">
        <v>5</v>
      </c>
      <c r="B6" s="3">
        <v>46121.514513888898</v>
      </c>
      <c r="C6" s="3">
        <v>46121.518356481502</v>
      </c>
      <c r="D6" s="4">
        <f t="shared" si="0"/>
        <v>3.8425926031777635E-3</v>
      </c>
      <c r="E6" t="s">
        <v>54</v>
      </c>
      <c r="F6" t="s">
        <v>55</v>
      </c>
      <c r="G6" s="1"/>
      <c r="H6" t="s">
        <v>18</v>
      </c>
      <c r="I6" t="s">
        <v>30</v>
      </c>
      <c r="J6" t="s">
        <v>31</v>
      </c>
      <c r="K6" t="s">
        <v>56</v>
      </c>
      <c r="L6" t="s">
        <v>22</v>
      </c>
      <c r="M6" t="s">
        <v>57</v>
      </c>
      <c r="N6" t="s">
        <v>24</v>
      </c>
      <c r="O6" t="s">
        <v>58</v>
      </c>
      <c r="P6" t="s">
        <v>37</v>
      </c>
      <c r="Q6" t="s">
        <v>59</v>
      </c>
    </row>
    <row r="7" spans="1:17" x14ac:dyDescent="0.35">
      <c r="A7">
        <v>6</v>
      </c>
      <c r="B7" s="3">
        <v>46121.537476851903</v>
      </c>
      <c r="C7" s="3">
        <v>46121.5389236111</v>
      </c>
      <c r="D7" s="4">
        <f t="shared" si="0"/>
        <v>1.4467591972788796E-3</v>
      </c>
      <c r="E7" t="s">
        <v>60</v>
      </c>
      <c r="F7" t="s">
        <v>61</v>
      </c>
      <c r="G7" s="1"/>
      <c r="H7" t="s">
        <v>18</v>
      </c>
      <c r="I7" t="s">
        <v>19</v>
      </c>
      <c r="J7" t="s">
        <v>20</v>
      </c>
      <c r="K7" t="s">
        <v>62</v>
      </c>
      <c r="L7" t="s">
        <v>22</v>
      </c>
      <c r="M7" t="s">
        <v>63</v>
      </c>
      <c r="N7" t="s">
        <v>35</v>
      </c>
      <c r="O7" t="s">
        <v>64</v>
      </c>
      <c r="P7" t="s">
        <v>52</v>
      </c>
      <c r="Q7" t="s">
        <v>65</v>
      </c>
    </row>
    <row r="8" spans="1:17" x14ac:dyDescent="0.35">
      <c r="A8">
        <v>7</v>
      </c>
      <c r="B8" s="3">
        <v>46121.537627314799</v>
      </c>
      <c r="C8" s="3">
        <v>46121.541111111103</v>
      </c>
      <c r="D8" s="4">
        <f t="shared" si="0"/>
        <v>3.4837963030440733E-3</v>
      </c>
      <c r="E8" t="s">
        <v>66</v>
      </c>
      <c r="F8" t="s">
        <v>67</v>
      </c>
      <c r="G8" s="1"/>
      <c r="H8" t="s">
        <v>68</v>
      </c>
      <c r="I8" t="s">
        <v>19</v>
      </c>
      <c r="J8" t="s">
        <v>31</v>
      </c>
      <c r="K8" t="s">
        <v>69</v>
      </c>
      <c r="L8" t="s">
        <v>49</v>
      </c>
      <c r="M8" t="s">
        <v>70</v>
      </c>
      <c r="N8" t="s">
        <v>24</v>
      </c>
      <c r="O8" t="s">
        <v>71</v>
      </c>
      <c r="P8" t="s">
        <v>26</v>
      </c>
      <c r="Q8" t="s">
        <v>72</v>
      </c>
    </row>
    <row r="9" spans="1:17" x14ac:dyDescent="0.35">
      <c r="A9">
        <v>8</v>
      </c>
      <c r="B9" s="3">
        <v>46121.539525462998</v>
      </c>
      <c r="C9" s="3">
        <v>46121.541620370401</v>
      </c>
      <c r="D9" s="4">
        <f t="shared" si="0"/>
        <v>2.0949074023519643E-3</v>
      </c>
      <c r="E9" t="s">
        <v>73</v>
      </c>
      <c r="F9" t="s">
        <v>74</v>
      </c>
      <c r="G9" s="1"/>
      <c r="H9" t="s">
        <v>68</v>
      </c>
      <c r="I9" t="s">
        <v>30</v>
      </c>
      <c r="J9" t="s">
        <v>31</v>
      </c>
      <c r="K9" t="s">
        <v>75</v>
      </c>
      <c r="L9" t="s">
        <v>22</v>
      </c>
      <c r="M9" t="s">
        <v>76</v>
      </c>
      <c r="N9" t="s">
        <v>24</v>
      </c>
      <c r="O9" t="s">
        <v>77</v>
      </c>
      <c r="P9" t="s">
        <v>52</v>
      </c>
      <c r="Q9" t="s">
        <v>78</v>
      </c>
    </row>
    <row r="10" spans="1:17" x14ac:dyDescent="0.35">
      <c r="A10">
        <v>9</v>
      </c>
      <c r="B10" s="3">
        <v>46121.562581018501</v>
      </c>
      <c r="C10" s="3">
        <v>46121.563321759299</v>
      </c>
      <c r="D10" s="4">
        <f t="shared" si="0"/>
        <v>7.4074079748243093E-4</v>
      </c>
      <c r="E10" t="s">
        <v>79</v>
      </c>
      <c r="F10" t="s">
        <v>80</v>
      </c>
      <c r="G10" s="1"/>
      <c r="H10" t="s">
        <v>68</v>
      </c>
      <c r="I10" t="s">
        <v>41</v>
      </c>
      <c r="J10" t="s">
        <v>42</v>
      </c>
      <c r="K10" t="s">
        <v>43</v>
      </c>
      <c r="L10" t="s">
        <v>33</v>
      </c>
      <c r="N10" t="s">
        <v>35</v>
      </c>
      <c r="O10" t="s">
        <v>81</v>
      </c>
      <c r="P10" t="s">
        <v>26</v>
      </c>
    </row>
    <row r="11" spans="1:17" x14ac:dyDescent="0.35">
      <c r="A11">
        <v>10</v>
      </c>
      <c r="B11" s="3">
        <v>46121.5640740741</v>
      </c>
      <c r="C11" s="3">
        <v>46121.5645717593</v>
      </c>
      <c r="D11" s="4">
        <f t="shared" si="0"/>
        <v>4.9768519966164604E-4</v>
      </c>
      <c r="E11" t="s">
        <v>82</v>
      </c>
      <c r="F11" t="s">
        <v>83</v>
      </c>
      <c r="G11" s="1"/>
      <c r="H11" t="s">
        <v>18</v>
      </c>
      <c r="I11" t="s">
        <v>41</v>
      </c>
      <c r="J11" t="s">
        <v>20</v>
      </c>
      <c r="K11" t="s">
        <v>43</v>
      </c>
      <c r="L11" t="s">
        <v>22</v>
      </c>
      <c r="M11" t="s">
        <v>84</v>
      </c>
      <c r="N11" t="s">
        <v>35</v>
      </c>
      <c r="O11" t="s">
        <v>85</v>
      </c>
      <c r="P11" t="s">
        <v>52</v>
      </c>
    </row>
    <row r="12" spans="1:17" x14ac:dyDescent="0.35">
      <c r="A12">
        <v>11</v>
      </c>
      <c r="B12" s="3">
        <v>46121.569155092599</v>
      </c>
      <c r="C12" s="3">
        <v>46121.5695023148</v>
      </c>
      <c r="D12" s="4">
        <f t="shared" si="0"/>
        <v>3.4722220152616501E-4</v>
      </c>
      <c r="E12" t="s">
        <v>86</v>
      </c>
      <c r="F12" t="s">
        <v>87</v>
      </c>
      <c r="G12" s="1"/>
      <c r="H12" t="s">
        <v>68</v>
      </c>
      <c r="I12" t="s">
        <v>41</v>
      </c>
      <c r="J12" t="s">
        <v>42</v>
      </c>
      <c r="K12" t="s">
        <v>43</v>
      </c>
      <c r="L12" t="s">
        <v>49</v>
      </c>
      <c r="N12" t="s">
        <v>35</v>
      </c>
      <c r="O12" t="s">
        <v>36</v>
      </c>
      <c r="P12" t="s">
        <v>26</v>
      </c>
    </row>
    <row r="13" spans="1:17" x14ac:dyDescent="0.35">
      <c r="A13">
        <v>12</v>
      </c>
      <c r="B13" s="3">
        <v>46121.573043981502</v>
      </c>
      <c r="C13" s="3">
        <v>46121.574016203696</v>
      </c>
      <c r="D13" s="4">
        <f t="shared" si="0"/>
        <v>9.72222194832284E-4</v>
      </c>
      <c r="E13" t="s">
        <v>88</v>
      </c>
      <c r="F13" t="s">
        <v>88</v>
      </c>
      <c r="G13" s="1"/>
      <c r="H13" t="s">
        <v>68</v>
      </c>
      <c r="I13" t="s">
        <v>41</v>
      </c>
      <c r="J13" t="s">
        <v>20</v>
      </c>
      <c r="K13" t="s">
        <v>89</v>
      </c>
      <c r="L13" t="s">
        <v>33</v>
      </c>
      <c r="M13" t="s">
        <v>90</v>
      </c>
      <c r="N13" t="s">
        <v>35</v>
      </c>
      <c r="O13" t="s">
        <v>91</v>
      </c>
      <c r="P13" t="s">
        <v>52</v>
      </c>
      <c r="Q13" t="s">
        <v>92</v>
      </c>
    </row>
    <row r="14" spans="1:17" x14ac:dyDescent="0.35">
      <c r="A14">
        <v>13</v>
      </c>
      <c r="B14" s="3">
        <v>46121.573946759301</v>
      </c>
      <c r="C14" s="3">
        <v>46121.574988425898</v>
      </c>
      <c r="D14" s="4">
        <f t="shared" si="0"/>
        <v>1.0416665973025374E-3</v>
      </c>
      <c r="E14" t="s">
        <v>93</v>
      </c>
      <c r="F14" t="s">
        <v>94</v>
      </c>
      <c r="G14" s="1"/>
      <c r="H14" t="s">
        <v>18</v>
      </c>
      <c r="I14" t="s">
        <v>19</v>
      </c>
      <c r="J14" t="s">
        <v>31</v>
      </c>
      <c r="K14" t="s">
        <v>43</v>
      </c>
      <c r="L14" t="s">
        <v>95</v>
      </c>
      <c r="M14" t="s">
        <v>96</v>
      </c>
      <c r="N14" t="s">
        <v>24</v>
      </c>
      <c r="O14" t="s">
        <v>97</v>
      </c>
      <c r="P14" t="s">
        <v>52</v>
      </c>
      <c r="Q14" t="s">
        <v>98</v>
      </c>
    </row>
    <row r="15" spans="1:17" x14ac:dyDescent="0.35">
      <c r="A15">
        <v>14</v>
      </c>
      <c r="B15" s="3">
        <v>46121.580879629597</v>
      </c>
      <c r="C15" s="3">
        <v>46121.581354166701</v>
      </c>
      <c r="D15" s="4">
        <f t="shared" si="0"/>
        <v>4.7453710431000218E-4</v>
      </c>
      <c r="E15" t="s">
        <v>99</v>
      </c>
      <c r="F15" t="s">
        <v>100</v>
      </c>
      <c r="G15" s="1"/>
      <c r="H15" t="s">
        <v>18</v>
      </c>
      <c r="I15" t="s">
        <v>30</v>
      </c>
      <c r="J15" t="s">
        <v>20</v>
      </c>
      <c r="K15" t="s">
        <v>101</v>
      </c>
      <c r="L15" t="s">
        <v>49</v>
      </c>
      <c r="M15" t="s">
        <v>102</v>
      </c>
      <c r="N15" t="s">
        <v>35</v>
      </c>
      <c r="O15" t="s">
        <v>103</v>
      </c>
      <c r="P15" t="s">
        <v>52</v>
      </c>
      <c r="Q15" t="s">
        <v>104</v>
      </c>
    </row>
    <row r="16" spans="1:17" x14ac:dyDescent="0.35">
      <c r="A16">
        <v>15</v>
      </c>
      <c r="B16" s="3">
        <v>46121.581400463001</v>
      </c>
      <c r="C16" s="3">
        <v>46121.582430555602</v>
      </c>
      <c r="D16" s="4">
        <f t="shared" si="0"/>
        <v>1.0300926005584188E-3</v>
      </c>
      <c r="E16" t="s">
        <v>105</v>
      </c>
      <c r="F16" t="s">
        <v>106</v>
      </c>
      <c r="G16" s="1"/>
      <c r="H16" t="s">
        <v>68</v>
      </c>
      <c r="I16" t="s">
        <v>41</v>
      </c>
      <c r="J16" t="s">
        <v>20</v>
      </c>
      <c r="K16" t="s">
        <v>75</v>
      </c>
      <c r="L16" t="s">
        <v>49</v>
      </c>
      <c r="M16" t="s">
        <v>35</v>
      </c>
      <c r="N16" t="s">
        <v>35</v>
      </c>
      <c r="O16" t="s">
        <v>64</v>
      </c>
      <c r="P16" t="s">
        <v>52</v>
      </c>
      <c r="Q16" t="s">
        <v>107</v>
      </c>
    </row>
    <row r="17" spans="1:17" x14ac:dyDescent="0.35">
      <c r="A17">
        <v>16</v>
      </c>
      <c r="B17" s="3">
        <v>46121.597511574102</v>
      </c>
      <c r="C17" s="3">
        <v>46121.597754629598</v>
      </c>
      <c r="D17" s="4">
        <f t="shared" si="0"/>
        <v>2.430554959573783E-4</v>
      </c>
      <c r="E17" t="s">
        <v>108</v>
      </c>
      <c r="F17" t="s">
        <v>109</v>
      </c>
      <c r="G17" s="1"/>
    </row>
    <row r="18" spans="1:17" x14ac:dyDescent="0.35">
      <c r="A18">
        <v>17</v>
      </c>
      <c r="B18" s="3">
        <v>46121.687013888899</v>
      </c>
      <c r="C18" s="3">
        <v>46121.700092592597</v>
      </c>
      <c r="D18" s="4">
        <f t="shared" si="0"/>
        <v>1.3078703697829042E-2</v>
      </c>
      <c r="E18" t="s">
        <v>110</v>
      </c>
      <c r="F18" t="s">
        <v>111</v>
      </c>
      <c r="G18" s="1"/>
      <c r="H18" t="s">
        <v>18</v>
      </c>
      <c r="I18" t="s">
        <v>41</v>
      </c>
      <c r="J18" t="s">
        <v>31</v>
      </c>
      <c r="K18" t="s">
        <v>112</v>
      </c>
      <c r="L18" t="s">
        <v>49</v>
      </c>
      <c r="M18" t="s">
        <v>113</v>
      </c>
      <c r="N18" t="s">
        <v>24</v>
      </c>
      <c r="O18" t="s">
        <v>114</v>
      </c>
      <c r="P18" t="s">
        <v>52</v>
      </c>
    </row>
    <row r="19" spans="1:17" x14ac:dyDescent="0.35">
      <c r="A19">
        <v>18</v>
      </c>
      <c r="B19" s="3">
        <v>46122.535613425898</v>
      </c>
      <c r="C19" s="3">
        <v>46122.541782407403</v>
      </c>
      <c r="D19" s="4">
        <f t="shared" si="0"/>
        <v>6.1689815047429875E-3</v>
      </c>
      <c r="E19" t="s">
        <v>115</v>
      </c>
      <c r="F19" t="s">
        <v>116</v>
      </c>
      <c r="G19" s="1"/>
      <c r="H19" t="s">
        <v>68</v>
      </c>
      <c r="I19" t="s">
        <v>117</v>
      </c>
      <c r="J19" t="s">
        <v>42</v>
      </c>
      <c r="K19" t="s">
        <v>118</v>
      </c>
      <c r="L19" t="s">
        <v>49</v>
      </c>
      <c r="M19" t="s">
        <v>113</v>
      </c>
      <c r="N19" t="s">
        <v>35</v>
      </c>
      <c r="O19" t="s">
        <v>85</v>
      </c>
      <c r="P19" t="s">
        <v>26</v>
      </c>
      <c r="Q19" t="s">
        <v>119</v>
      </c>
    </row>
    <row r="20" spans="1:17" x14ac:dyDescent="0.35">
      <c r="A20">
        <v>19</v>
      </c>
      <c r="B20" s="3">
        <v>46122.540011574099</v>
      </c>
      <c r="C20" s="3">
        <v>46122.541863425897</v>
      </c>
      <c r="D20" s="4">
        <f t="shared" si="0"/>
        <v>1.8518517972552218E-3</v>
      </c>
      <c r="E20" t="s">
        <v>120</v>
      </c>
      <c r="F20" t="s">
        <v>121</v>
      </c>
      <c r="G20" s="1"/>
      <c r="H20" t="s">
        <v>68</v>
      </c>
      <c r="I20" t="s">
        <v>19</v>
      </c>
      <c r="J20" t="s">
        <v>20</v>
      </c>
      <c r="K20" t="s">
        <v>122</v>
      </c>
      <c r="L20" t="s">
        <v>49</v>
      </c>
      <c r="M20" t="s">
        <v>123</v>
      </c>
      <c r="N20" t="s">
        <v>24</v>
      </c>
      <c r="O20" t="s">
        <v>77</v>
      </c>
      <c r="P20" t="s">
        <v>26</v>
      </c>
      <c r="Q20" t="s">
        <v>124</v>
      </c>
    </row>
    <row r="21" spans="1:17" x14ac:dyDescent="0.35">
      <c r="A21" s="2"/>
      <c r="D21" s="4">
        <f t="shared" ref="D21:D24" si="1">C21-B21</f>
        <v>0</v>
      </c>
      <c r="E21" s="2"/>
      <c r="F21" s="2"/>
      <c r="G21" s="1"/>
      <c r="H21" s="2"/>
      <c r="I21" s="5"/>
      <c r="J21" s="6"/>
      <c r="K21" s="2"/>
      <c r="L21" s="2"/>
      <c r="M21" s="2"/>
      <c r="N21" s="2"/>
      <c r="O21" s="2"/>
      <c r="P21" s="2"/>
      <c r="Q21" s="2"/>
    </row>
    <row r="22" spans="1:17" x14ac:dyDescent="0.35">
      <c r="A22" s="2"/>
      <c r="D22" s="4">
        <f t="shared" si="1"/>
        <v>0</v>
      </c>
      <c r="E22" s="2"/>
      <c r="F22" s="2"/>
      <c r="G22" s="1"/>
      <c r="H22" s="2"/>
      <c r="I22" s="5"/>
      <c r="J22" s="2"/>
      <c r="K22" s="2"/>
      <c r="L22" s="2"/>
      <c r="M22" s="2"/>
      <c r="N22" s="2"/>
      <c r="O22" s="2"/>
      <c r="P22" s="2"/>
      <c r="Q22" s="2"/>
    </row>
    <row r="23" spans="1:17" x14ac:dyDescent="0.35">
      <c r="A23" s="2"/>
      <c r="D23" s="4">
        <f t="shared" si="1"/>
        <v>0</v>
      </c>
      <c r="E23" s="2"/>
      <c r="F23" s="2"/>
      <c r="G23" s="1"/>
      <c r="H23" s="2"/>
      <c r="I23" s="5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 s="2"/>
      <c r="D24" s="4">
        <f t="shared" si="1"/>
        <v>0</v>
      </c>
      <c r="E24" s="2"/>
      <c r="F24" s="2"/>
      <c r="G24" s="1"/>
      <c r="H24" s="2"/>
      <c r="I24" s="5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 s="2"/>
      <c r="D25" s="4">
        <f>AVERAGE(D2:D24)</f>
        <v>1.8850644084285823E-3</v>
      </c>
      <c r="E25" s="2"/>
      <c r="F25" s="2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D42D-344A-46D2-8F31-BDD43E44FD7D}">
  <dimension ref="A1:I22"/>
  <sheetViews>
    <sheetView tabSelected="1" workbookViewId="0">
      <selection activeCell="M18" sqref="M18"/>
    </sheetView>
  </sheetViews>
  <sheetFormatPr defaultRowHeight="14.5" x14ac:dyDescent="0.35"/>
  <cols>
    <col min="1" max="1" width="12.36328125" bestFit="1" customWidth="1"/>
    <col min="2" max="2" width="13.54296875" bestFit="1" customWidth="1"/>
    <col min="8" max="8" width="47.26953125" bestFit="1" customWidth="1"/>
    <col min="9" max="9" width="13.54296875" bestFit="1" customWidth="1"/>
  </cols>
  <sheetData>
    <row r="1" spans="1:9" x14ac:dyDescent="0.35">
      <c r="H1" s="7" t="s">
        <v>126</v>
      </c>
      <c r="I1" t="s">
        <v>129</v>
      </c>
    </row>
    <row r="2" spans="1:9" x14ac:dyDescent="0.35">
      <c r="H2" s="8" t="s">
        <v>31</v>
      </c>
      <c r="I2" s="2">
        <v>6</v>
      </c>
    </row>
    <row r="3" spans="1:9" x14ac:dyDescent="0.35">
      <c r="A3" s="7" t="s">
        <v>126</v>
      </c>
      <c r="B3" t="s">
        <v>129</v>
      </c>
      <c r="H3" s="9" t="s">
        <v>43</v>
      </c>
      <c r="I3" s="2">
        <v>1</v>
      </c>
    </row>
    <row r="4" spans="1:9" x14ac:dyDescent="0.35">
      <c r="A4" s="8" t="s">
        <v>68</v>
      </c>
      <c r="B4" s="2">
        <v>8</v>
      </c>
      <c r="H4" s="9" t="s">
        <v>75</v>
      </c>
      <c r="I4" s="2">
        <v>1</v>
      </c>
    </row>
    <row r="5" spans="1:9" x14ac:dyDescent="0.35">
      <c r="A5" s="8" t="s">
        <v>18</v>
      </c>
      <c r="B5" s="2">
        <v>10</v>
      </c>
      <c r="H5" s="9" t="s">
        <v>56</v>
      </c>
      <c r="I5" s="2">
        <v>1</v>
      </c>
    </row>
    <row r="6" spans="1:9" x14ac:dyDescent="0.35">
      <c r="A6" s="8" t="s">
        <v>127</v>
      </c>
      <c r="B6" s="2">
        <v>1</v>
      </c>
      <c r="H6" s="9" t="s">
        <v>32</v>
      </c>
      <c r="I6" s="2">
        <v>1</v>
      </c>
    </row>
    <row r="7" spans="1:9" x14ac:dyDescent="0.35">
      <c r="A7" s="8" t="s">
        <v>128</v>
      </c>
      <c r="B7" s="2">
        <v>19</v>
      </c>
      <c r="H7" s="9" t="s">
        <v>112</v>
      </c>
      <c r="I7" s="2">
        <v>1</v>
      </c>
    </row>
    <row r="8" spans="1:9" x14ac:dyDescent="0.35">
      <c r="H8" s="9" t="s">
        <v>69</v>
      </c>
      <c r="I8" s="2">
        <v>1</v>
      </c>
    </row>
    <row r="9" spans="1:9" x14ac:dyDescent="0.35">
      <c r="H9" s="8" t="s">
        <v>20</v>
      </c>
      <c r="I9" s="2">
        <v>8</v>
      </c>
    </row>
    <row r="10" spans="1:9" x14ac:dyDescent="0.35">
      <c r="H10" s="9" t="s">
        <v>62</v>
      </c>
      <c r="I10" s="2">
        <v>1</v>
      </c>
    </row>
    <row r="11" spans="1:9" x14ac:dyDescent="0.35">
      <c r="H11" s="9" t="s">
        <v>89</v>
      </c>
      <c r="I11" s="2">
        <v>1</v>
      </c>
    </row>
    <row r="12" spans="1:9" x14ac:dyDescent="0.35">
      <c r="H12" s="9" t="s">
        <v>43</v>
      </c>
      <c r="I12" s="2">
        <v>2</v>
      </c>
    </row>
    <row r="13" spans="1:9" x14ac:dyDescent="0.35">
      <c r="H13" s="9" t="s">
        <v>75</v>
      </c>
      <c r="I13" s="2">
        <v>1</v>
      </c>
    </row>
    <row r="14" spans="1:9" x14ac:dyDescent="0.35">
      <c r="H14" s="9" t="s">
        <v>122</v>
      </c>
      <c r="I14" s="2">
        <v>1</v>
      </c>
    </row>
    <row r="15" spans="1:9" x14ac:dyDescent="0.35">
      <c r="H15" s="9" t="s">
        <v>101</v>
      </c>
      <c r="I15" s="2">
        <v>1</v>
      </c>
    </row>
    <row r="16" spans="1:9" x14ac:dyDescent="0.35">
      <c r="H16" s="9" t="s">
        <v>21</v>
      </c>
      <c r="I16" s="2">
        <v>1</v>
      </c>
    </row>
    <row r="17" spans="8:9" x14ac:dyDescent="0.35">
      <c r="H17" s="8" t="s">
        <v>42</v>
      </c>
      <c r="I17" s="2">
        <v>4</v>
      </c>
    </row>
    <row r="18" spans="8:9" x14ac:dyDescent="0.35">
      <c r="H18" s="9" t="s">
        <v>43</v>
      </c>
      <c r="I18" s="2">
        <v>3</v>
      </c>
    </row>
    <row r="19" spans="8:9" x14ac:dyDescent="0.35">
      <c r="H19" s="9" t="s">
        <v>118</v>
      </c>
      <c r="I19" s="2">
        <v>1</v>
      </c>
    </row>
    <row r="20" spans="8:9" x14ac:dyDescent="0.35">
      <c r="H20" s="8" t="s">
        <v>127</v>
      </c>
      <c r="I20" s="2">
        <v>1</v>
      </c>
    </row>
    <row r="21" spans="8:9" x14ac:dyDescent="0.35">
      <c r="H21" s="9" t="s">
        <v>127</v>
      </c>
      <c r="I21" s="2">
        <v>1</v>
      </c>
    </row>
    <row r="22" spans="8:9" x14ac:dyDescent="0.35">
      <c r="H22" s="8" t="s">
        <v>128</v>
      </c>
      <c r="I22" s="2">
        <v>19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Data</vt:lpstr>
      <vt:lpstr>Charts&amp;Tables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antwaushea sago</cp:lastModifiedBy>
  <dcterms:created xsi:type="dcterms:W3CDTF">2026-04-13T07:15:47Z</dcterms:created>
  <dcterms:modified xsi:type="dcterms:W3CDTF">2026-04-13T14:37:33Z</dcterms:modified>
</cp:coreProperties>
</file>